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alu-my.sharepoint.com/personal/sq872906_dal_ca/Documents/Desktop/Projects/Olist e-commerce SQL analysis/excel/"/>
    </mc:Choice>
  </mc:AlternateContent>
  <xr:revisionPtr revIDLastSave="0" documentId="8_{FECDFE82-D9CD-412B-9380-6A0775F752B6}" xr6:coauthVersionLast="47" xr6:coauthVersionMax="47" xr10:uidLastSave="{00000000-0000-0000-0000-000000000000}"/>
  <bookViews>
    <workbookView xWindow="-98" yWindow="-98" windowWidth="21795" windowHeight="12975" xr2:uid="{BC753287-7F5D-4269-9C69-29761C28D348}"/>
  </bookViews>
  <sheets>
    <sheet name="pivot_by_state" sheetId="2" r:id="rId1"/>
    <sheet name="checks" sheetId="5" r:id="rId2"/>
    <sheet name="revenue_by_state" sheetId="1" r:id="rId3"/>
    <sheet name="pivot_by_month" sheetId="4" r:id="rId4"/>
    <sheet name="revenue_by_month" sheetId="3" r:id="rId5"/>
  </sheets>
  <calcPr calcId="0"/>
  <pivotCaches>
    <pivotCache cacheId="8" r:id="rId6"/>
    <pivotCache cacheId="7" r:id="rId7"/>
  </pivotCaches>
</workbook>
</file>

<file path=xl/sharedStrings.xml><?xml version="1.0" encoding="utf-8"?>
<sst xmlns="http://schemas.openxmlformats.org/spreadsheetml/2006/main" count="103" uniqueCount="39">
  <si>
    <t>customer_state</t>
  </si>
  <si>
    <t>orders</t>
  </si>
  <si>
    <t>revenue</t>
  </si>
  <si>
    <t>pct_of_revenue</t>
  </si>
  <si>
    <t>avg_freight_per_item</t>
  </si>
  <si>
    <t>SP</t>
  </si>
  <si>
    <t>RJ</t>
  </si>
  <si>
    <t>MG</t>
  </si>
  <si>
    <t>RS</t>
  </si>
  <si>
    <t>PR</t>
  </si>
  <si>
    <t>SC</t>
  </si>
  <si>
    <t>BA</t>
  </si>
  <si>
    <t>DF</t>
  </si>
  <si>
    <t>GO</t>
  </si>
  <si>
    <t>ES</t>
  </si>
  <si>
    <t>PE</t>
  </si>
  <si>
    <t>CE</t>
  </si>
  <si>
    <t>PA</t>
  </si>
  <si>
    <t>MT</t>
  </si>
  <si>
    <t>MA</t>
  </si>
  <si>
    <t>PB</t>
  </si>
  <si>
    <t>MS</t>
  </si>
  <si>
    <t>PI</t>
  </si>
  <si>
    <t>RN</t>
  </si>
  <si>
    <t>AL</t>
  </si>
  <si>
    <t>SE</t>
  </si>
  <si>
    <t>TO</t>
  </si>
  <si>
    <t>RO</t>
  </si>
  <si>
    <t>AM</t>
  </si>
  <si>
    <t>AC</t>
  </si>
  <si>
    <t>AP</t>
  </si>
  <si>
    <t>RR</t>
  </si>
  <si>
    <t>Row Labels</t>
  </si>
  <si>
    <t>Grand Total</t>
  </si>
  <si>
    <t>Sum of orders</t>
  </si>
  <si>
    <t>Sum of revenue</t>
  </si>
  <si>
    <t>month</t>
  </si>
  <si>
    <t>2017</t>
  </si>
  <si>
    <t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</si>
</sst>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hruti Patel" refreshedDate="46288.891605324075" createdVersion="8" refreshedVersion="8" minRefreshableVersion="3" recordCount="27" xr:uid="{035C763E-E592-4560-A33B-F362EEEFCF3B}">
  <cacheSource type="worksheet">
    <worksheetSource ref="A1:E28" sheet="revenue_by_state"/>
  </cacheSource>
  <cacheFields count="5">
    <cacheField name="customer_state" numFmtId="0">
      <sharedItems count="27">
        <s v="SP"/>
        <s v="RJ"/>
        <s v="MG"/>
        <s v="RS"/>
        <s v="PR"/>
        <s v="SC"/>
        <s v="BA"/>
        <s v="DF"/>
        <s v="GO"/>
        <s v="ES"/>
        <s v="PE"/>
        <s v="CE"/>
        <s v="PA"/>
        <s v="MT"/>
        <s v="MA"/>
        <s v="PB"/>
        <s v="MS"/>
        <s v="PI"/>
        <s v="RN"/>
        <s v="AL"/>
        <s v="SE"/>
        <s v="TO"/>
        <s v="RO"/>
        <s v="AM"/>
        <s v="AC"/>
        <s v="AP"/>
        <s v="RR"/>
      </sharedItems>
    </cacheField>
    <cacheField name="orders" numFmtId="0">
      <sharedItems containsSemiMixedTypes="0" containsString="0" containsNumber="1" containsInteger="1" minValue="40" maxValue="40406"/>
    </cacheField>
    <cacheField name="revenue" numFmtId="0">
      <sharedItems containsSemiMixedTypes="0" containsString="0" containsNumber="1" minValue="8970.5" maxValue="5755999.7599999998"/>
    </cacheField>
    <cacheField name="pct_of_revenue" numFmtId="0">
      <sharedItems containsSemiMixedTypes="0" containsString="0" containsNumber="1" minValue="0.06" maxValue="37.44"/>
    </cacheField>
    <cacheField name="avg_freight_per_item" numFmtId="0">
      <sharedItems containsSemiMixedTypes="0" containsString="0" containsNumber="1" minValue="15.12" maxValue="43.3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hruti Patel" refreshedDate="46288.893414583334" createdVersion="8" refreshedVersion="8" minRefreshableVersion="3" recordCount="20" xr:uid="{3D8E19A4-7341-4EA8-B4FD-48B4C7D51D84}">
  <cacheSource type="worksheet">
    <worksheetSource ref="A1:C21" sheet="revenue_by_month"/>
  </cacheSource>
  <cacheFields count="6">
    <cacheField name="month" numFmtId="14">
      <sharedItems containsSemiMixedTypes="0" containsNonDate="0" containsDate="1" containsString="0" minDate="2017-01-01T00:00:00" maxDate="2018-08-02T00:00:00" count="20">
        <d v="2017-01-01T00:00:00"/>
        <d v="2017-02-01T00:00:00"/>
        <d v="2017-03-01T00:00:00"/>
        <d v="2017-04-01T00:00:00"/>
        <d v="2017-05-01T00:00:00"/>
        <d v="2017-06-01T00:00:00"/>
        <d v="2017-07-01T00:00:00"/>
        <d v="2017-08-01T00:00:00"/>
        <d v="2017-09-01T00:00:00"/>
        <d v="2017-10-01T00:00:00"/>
        <d v="2017-11-01T00:00:00"/>
        <d v="2017-12-01T00:00:00"/>
        <d v="2018-01-01T00:00:00"/>
        <d v="2018-02-01T00:00:00"/>
        <d v="2018-03-01T00:00:00"/>
        <d v="2018-04-01T00:00:00"/>
        <d v="2018-05-01T00:00:00"/>
        <d v="2018-06-01T00:00:00"/>
        <d v="2018-07-01T00:00:00"/>
        <d v="2018-08-01T00:00:00"/>
      </sharedItems>
      <fieldGroup par="5"/>
    </cacheField>
    <cacheField name="orders" numFmtId="0">
      <sharedItems containsSemiMixedTypes="0" containsString="0" containsNumber="1" containsInteger="1" minValue="750" maxValue="7289"/>
    </cacheField>
    <cacheField name="revenue" numFmtId="0">
      <sharedItems containsSemiMixedTypes="0" containsString="0" containsNumber="1" minValue="127482.37" maxValue="1153364.2"/>
    </cacheField>
    <cacheField name="Months (month)" numFmtId="0" databaseField="0">
      <fieldGroup base="0">
        <rangePr groupBy="months" startDate="2017-01-01T00:00:00" endDate="2018-08-02T00:00:00"/>
        <groupItems count="14">
          <s v="&lt;1/1/2017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8/2/2018"/>
        </groupItems>
      </fieldGroup>
    </cacheField>
    <cacheField name="Quarters (month)" numFmtId="0" databaseField="0">
      <fieldGroup base="0">
        <rangePr groupBy="quarters" startDate="2017-01-01T00:00:00" endDate="2018-08-02T00:00:00"/>
        <groupItems count="6">
          <s v="&lt;1/1/2017"/>
          <s v="Qtr1"/>
          <s v="Qtr2"/>
          <s v="Qtr3"/>
          <s v="Qtr4"/>
          <s v="&gt;8/2/2018"/>
        </groupItems>
      </fieldGroup>
    </cacheField>
    <cacheField name="Years (month)" numFmtId="0" databaseField="0">
      <fieldGroup base="0">
        <rangePr groupBy="years" startDate="2017-01-01T00:00:00" endDate="2018-08-02T00:00:00"/>
        <groupItems count="4">
          <s v="&lt;1/1/2017"/>
          <s v="2017"/>
          <s v="2018"/>
          <s v="&gt;8/2/2018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">
  <r>
    <x v="0"/>
    <n v="40406"/>
    <n v="5755999.7599999998"/>
    <n v="37.44"/>
    <n v="15.12"/>
  </r>
  <r>
    <x v="1"/>
    <n v="12310"/>
    <n v="2046357.64"/>
    <n v="13.31"/>
    <n v="20.92"/>
  </r>
  <r>
    <x v="2"/>
    <n v="11319"/>
    <n v="1813954.27"/>
    <n v="11.8"/>
    <n v="20.64"/>
  </r>
  <r>
    <x v="3"/>
    <n v="5328"/>
    <n v="858574.68"/>
    <n v="5.58"/>
    <n v="21.61"/>
  </r>
  <r>
    <x v="4"/>
    <n v="4903"/>
    <n v="779214.08"/>
    <n v="5.07"/>
    <n v="20.5"/>
  </r>
  <r>
    <x v="5"/>
    <n v="3537"/>
    <n v="592627.06000000006"/>
    <n v="3.85"/>
    <n v="21.51"/>
  </r>
  <r>
    <x v="6"/>
    <n v="3253"/>
    <n v="590816.80000000005"/>
    <n v="3.84"/>
    <n v="26.49"/>
  </r>
  <r>
    <x v="7"/>
    <n v="2074"/>
    <n v="344923.24"/>
    <n v="2.2400000000000002"/>
    <n v="21.08"/>
  </r>
  <r>
    <x v="8"/>
    <n v="1950"/>
    <n v="333156.23"/>
    <n v="2.17"/>
    <n v="22.57"/>
  </r>
  <r>
    <x v="9"/>
    <n v="1992"/>
    <n v="316666.12"/>
    <n v="2.06"/>
    <n v="22"/>
  </r>
  <r>
    <x v="10"/>
    <n v="1587"/>
    <n v="307428.09999999998"/>
    <n v="2"/>
    <n v="32.64"/>
  </r>
  <r>
    <x v="11"/>
    <n v="1273"/>
    <n v="264551.39"/>
    <n v="1.72"/>
    <n v="32.71"/>
  </r>
  <r>
    <x v="12"/>
    <n v="942"/>
    <n v="210740.48000000001"/>
    <n v="1.37"/>
    <n v="35.65"/>
  </r>
  <r>
    <x v="13"/>
    <n v="885"/>
    <n v="181122.98"/>
    <n v="1.18"/>
    <n v="28"/>
  </r>
  <r>
    <x v="14"/>
    <n v="713"/>
    <n v="146804.70000000001"/>
    <n v="0.95"/>
    <n v="38.56"/>
  </r>
  <r>
    <x v="15"/>
    <n v="516"/>
    <n v="137763.81"/>
    <n v="0.9"/>
    <n v="43.12"/>
  </r>
  <r>
    <x v="16"/>
    <n v="701"/>
    <n v="134367.54999999999"/>
    <n v="0.87"/>
    <n v="23.35"/>
  </r>
  <r>
    <x v="17"/>
    <n v="475"/>
    <n v="104932.1"/>
    <n v="0.68"/>
    <n v="39.119999999999997"/>
  </r>
  <r>
    <x v="18"/>
    <n v="470"/>
    <n v="99833.44"/>
    <n v="0.65"/>
    <n v="35.770000000000003"/>
  </r>
  <r>
    <x v="19"/>
    <n v="396"/>
    <n v="94095.89"/>
    <n v="0.61"/>
    <n v="35.89"/>
  </r>
  <r>
    <x v="20"/>
    <n v="332"/>
    <n v="69943.210000000006"/>
    <n v="0.45"/>
    <n v="36.71"/>
  </r>
  <r>
    <x v="21"/>
    <n v="274"/>
    <n v="60007.37"/>
    <n v="0.39"/>
    <n v="37.44"/>
  </r>
  <r>
    <x v="22"/>
    <n v="243"/>
    <n v="56966"/>
    <n v="0.37"/>
    <n v="41.33"/>
  </r>
  <r>
    <x v="23"/>
    <n v="145"/>
    <n v="27585.47"/>
    <n v="0.18"/>
    <n v="33.31"/>
  </r>
  <r>
    <x v="24"/>
    <n v="80"/>
    <n v="19575.330000000002"/>
    <n v="0.13"/>
    <n v="40.049999999999997"/>
  </r>
  <r>
    <x v="25"/>
    <n v="67"/>
    <n v="16141.81"/>
    <n v="0.11"/>
    <n v="34.159999999999997"/>
  </r>
  <r>
    <x v="26"/>
    <n v="40"/>
    <n v="8970.5"/>
    <n v="0.06"/>
    <n v="43.39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">
  <r>
    <x v="0"/>
    <n v="750"/>
    <n v="127482.37"/>
  </r>
  <r>
    <x v="1"/>
    <n v="1653"/>
    <n v="271239.32"/>
  </r>
  <r>
    <x v="2"/>
    <n v="2546"/>
    <n v="414330.95"/>
  </r>
  <r>
    <x v="3"/>
    <n v="2303"/>
    <n v="390812.4"/>
  </r>
  <r>
    <x v="4"/>
    <n v="3546"/>
    <n v="566851.4"/>
  </r>
  <r>
    <x v="5"/>
    <n v="3135"/>
    <n v="490050.37"/>
  </r>
  <r>
    <x v="6"/>
    <n v="3872"/>
    <n v="566299.07999999996"/>
  </r>
  <r>
    <x v="7"/>
    <n v="4193"/>
    <n v="645832.36"/>
  </r>
  <r>
    <x v="8"/>
    <n v="4150"/>
    <n v="701077.49"/>
  </r>
  <r>
    <x v="9"/>
    <n v="4478"/>
    <n v="751117.01"/>
  </r>
  <r>
    <x v="10"/>
    <n v="7289"/>
    <n v="1153364.2"/>
  </r>
  <r>
    <x v="11"/>
    <n v="5513"/>
    <n v="843078.29"/>
  </r>
  <r>
    <x v="12"/>
    <n v="7069"/>
    <n v="1077887.46"/>
  </r>
  <r>
    <x v="13"/>
    <n v="6555"/>
    <n v="966168.41"/>
  </r>
  <r>
    <x v="14"/>
    <n v="7003"/>
    <n v="1120598.24"/>
  </r>
  <r>
    <x v="15"/>
    <n v="6798"/>
    <n v="1132878.93"/>
  </r>
  <r>
    <x v="16"/>
    <n v="6749"/>
    <n v="1128774.52"/>
  </r>
  <r>
    <x v="17"/>
    <n v="6099"/>
    <n v="1011978.29"/>
  </r>
  <r>
    <x v="18"/>
    <n v="6159"/>
    <n v="1027807.28"/>
  </r>
  <r>
    <x v="19"/>
    <n v="6351"/>
    <n v="985491.6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C65A929-4C61-4D8A-B8C8-0BAE4B4EB212}" name="PivotTable1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31" firstHeaderRow="0" firstDataRow="1" firstDataCol="1"/>
  <pivotFields count="5">
    <pivotField axis="axisRow" showAll="0">
      <items count="28">
        <item x="24"/>
        <item x="19"/>
        <item x="23"/>
        <item x="25"/>
        <item x="6"/>
        <item x="11"/>
        <item x="7"/>
        <item x="9"/>
        <item x="8"/>
        <item x="14"/>
        <item x="2"/>
        <item x="16"/>
        <item x="13"/>
        <item x="12"/>
        <item x="15"/>
        <item x="10"/>
        <item x="17"/>
        <item x="4"/>
        <item x="1"/>
        <item x="18"/>
        <item x="22"/>
        <item x="26"/>
        <item x="3"/>
        <item x="5"/>
        <item x="20"/>
        <item x="0"/>
        <item x="21"/>
        <item t="default"/>
      </items>
    </pivotField>
    <pivotField dataField="1" showAll="0"/>
    <pivotField dataField="1" showAll="0"/>
    <pivotField showAll="0"/>
    <pivotField showAll="0"/>
  </pivotFields>
  <rowFields count="1">
    <field x="0"/>
  </rowFields>
  <rowItems count="2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orders" fld="1" baseField="0" baseItem="0"/>
    <dataField name="Sum of revenue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1CA9D9F-1E1F-40D6-8F12-D4133C76DED6}" name="PivotTable3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31" firstHeaderRow="0" firstDataRow="1" firstDataCol="1"/>
  <pivotFields count="5">
    <pivotField axis="axisRow" showAll="0">
      <items count="28">
        <item x="24"/>
        <item x="19"/>
        <item x="23"/>
        <item x="25"/>
        <item x="6"/>
        <item x="11"/>
        <item x="7"/>
        <item x="9"/>
        <item x="8"/>
        <item x="14"/>
        <item x="2"/>
        <item x="16"/>
        <item x="13"/>
        <item x="12"/>
        <item x="15"/>
        <item x="10"/>
        <item x="17"/>
        <item x="4"/>
        <item x="1"/>
        <item x="18"/>
        <item x="22"/>
        <item x="26"/>
        <item x="3"/>
        <item x="5"/>
        <item x="20"/>
        <item x="0"/>
        <item x="21"/>
        <item t="default"/>
      </items>
    </pivotField>
    <pivotField dataField="1" showAll="0"/>
    <pivotField dataField="1" showAll="0"/>
    <pivotField showAll="0"/>
    <pivotField showAll="0"/>
  </pivotFields>
  <rowFields count="1">
    <field x="0"/>
  </rowFields>
  <rowItems count="2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orders" fld="1" baseField="0" baseItem="0"/>
    <dataField name="Sum of revenue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6FE935B-52E6-4A9C-B1E5-AC0308FFE1E9}" name="PivotTable2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6" firstHeaderRow="0" firstDataRow="1" firstDataCol="1"/>
  <pivotFields count="6">
    <pivotField axis="axisRow" numFmtId="14" showAll="0">
      <items count="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dataField="1" showAll="0"/>
    <pivotField dataField="1"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5">
        <item sd="0" x="0"/>
        <item sd="0" x="1"/>
        <item sd="0" x="2"/>
        <item sd="0" x="3"/>
        <item t="default"/>
      </items>
    </pivotField>
  </pivotFields>
  <rowFields count="4">
    <field x="5"/>
    <field x="4"/>
    <field x="3"/>
    <field x="0"/>
  </rowFields>
  <rowItems count="3"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orders" fld="1" baseField="0" baseItem="0"/>
    <dataField name="Sum of revenue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22AE8A-A61A-4DF5-BA9B-D015DB9B75B4}">
  <dimension ref="A3:C31"/>
  <sheetViews>
    <sheetView tabSelected="1" workbookViewId="0">
      <selection activeCell="J23" sqref="J23"/>
    </sheetView>
  </sheetViews>
  <sheetFormatPr defaultRowHeight="14.25" x14ac:dyDescent="0.45"/>
  <cols>
    <col min="1" max="1" width="12.06640625" bestFit="1" customWidth="1"/>
    <col min="2" max="2" width="12.19921875" bestFit="1" customWidth="1"/>
    <col min="3" max="3" width="13.73046875" bestFit="1" customWidth="1"/>
  </cols>
  <sheetData>
    <row r="3" spans="1:3" x14ac:dyDescent="0.45">
      <c r="A3" s="1" t="s">
        <v>32</v>
      </c>
      <c r="B3" t="s">
        <v>34</v>
      </c>
      <c r="C3" t="s">
        <v>35</v>
      </c>
    </row>
    <row r="4" spans="1:3" x14ac:dyDescent="0.45">
      <c r="A4" s="2" t="s">
        <v>29</v>
      </c>
      <c r="B4" s="3">
        <v>80</v>
      </c>
      <c r="C4" s="3">
        <v>19575.330000000002</v>
      </c>
    </row>
    <row r="5" spans="1:3" x14ac:dyDescent="0.45">
      <c r="A5" s="2" t="s">
        <v>24</v>
      </c>
      <c r="B5" s="3">
        <v>396</v>
      </c>
      <c r="C5" s="3">
        <v>94095.89</v>
      </c>
    </row>
    <row r="6" spans="1:3" x14ac:dyDescent="0.45">
      <c r="A6" s="2" t="s">
        <v>28</v>
      </c>
      <c r="B6" s="3">
        <v>145</v>
      </c>
      <c r="C6" s="3">
        <v>27585.47</v>
      </c>
    </row>
    <row r="7" spans="1:3" x14ac:dyDescent="0.45">
      <c r="A7" s="2" t="s">
        <v>30</v>
      </c>
      <c r="B7" s="3">
        <v>67</v>
      </c>
      <c r="C7" s="3">
        <v>16141.81</v>
      </c>
    </row>
    <row r="8" spans="1:3" x14ac:dyDescent="0.45">
      <c r="A8" s="2" t="s">
        <v>11</v>
      </c>
      <c r="B8" s="3">
        <v>3253</v>
      </c>
      <c r="C8" s="3">
        <v>590816.80000000005</v>
      </c>
    </row>
    <row r="9" spans="1:3" x14ac:dyDescent="0.45">
      <c r="A9" s="2" t="s">
        <v>16</v>
      </c>
      <c r="B9" s="3">
        <v>1273</v>
      </c>
      <c r="C9" s="3">
        <v>264551.39</v>
      </c>
    </row>
    <row r="10" spans="1:3" x14ac:dyDescent="0.45">
      <c r="A10" s="2" t="s">
        <v>12</v>
      </c>
      <c r="B10" s="3">
        <v>2074</v>
      </c>
      <c r="C10" s="3">
        <v>344923.24</v>
      </c>
    </row>
    <row r="11" spans="1:3" x14ac:dyDescent="0.45">
      <c r="A11" s="2" t="s">
        <v>14</v>
      </c>
      <c r="B11" s="3">
        <v>1992</v>
      </c>
      <c r="C11" s="3">
        <v>316666.12</v>
      </c>
    </row>
    <row r="12" spans="1:3" x14ac:dyDescent="0.45">
      <c r="A12" s="2" t="s">
        <v>13</v>
      </c>
      <c r="B12" s="3">
        <v>1950</v>
      </c>
      <c r="C12" s="3">
        <v>333156.23</v>
      </c>
    </row>
    <row r="13" spans="1:3" x14ac:dyDescent="0.45">
      <c r="A13" s="2" t="s">
        <v>19</v>
      </c>
      <c r="B13" s="3">
        <v>713</v>
      </c>
      <c r="C13" s="3">
        <v>146804.70000000001</v>
      </c>
    </row>
    <row r="14" spans="1:3" x14ac:dyDescent="0.45">
      <c r="A14" s="2" t="s">
        <v>7</v>
      </c>
      <c r="B14" s="3">
        <v>11319</v>
      </c>
      <c r="C14" s="3">
        <v>1813954.27</v>
      </c>
    </row>
    <row r="15" spans="1:3" x14ac:dyDescent="0.45">
      <c r="A15" s="2" t="s">
        <v>21</v>
      </c>
      <c r="B15" s="3">
        <v>701</v>
      </c>
      <c r="C15" s="3">
        <v>134367.54999999999</v>
      </c>
    </row>
    <row r="16" spans="1:3" x14ac:dyDescent="0.45">
      <c r="A16" s="2" t="s">
        <v>18</v>
      </c>
      <c r="B16" s="3">
        <v>885</v>
      </c>
      <c r="C16" s="3">
        <v>181122.98</v>
      </c>
    </row>
    <row r="17" spans="1:3" x14ac:dyDescent="0.45">
      <c r="A17" s="2" t="s">
        <v>17</v>
      </c>
      <c r="B17" s="3">
        <v>942</v>
      </c>
      <c r="C17" s="3">
        <v>210740.48000000001</v>
      </c>
    </row>
    <row r="18" spans="1:3" x14ac:dyDescent="0.45">
      <c r="A18" s="2" t="s">
        <v>20</v>
      </c>
      <c r="B18" s="3">
        <v>516</v>
      </c>
      <c r="C18" s="3">
        <v>137763.81</v>
      </c>
    </row>
    <row r="19" spans="1:3" x14ac:dyDescent="0.45">
      <c r="A19" s="2" t="s">
        <v>15</v>
      </c>
      <c r="B19" s="3">
        <v>1587</v>
      </c>
      <c r="C19" s="3">
        <v>307428.09999999998</v>
      </c>
    </row>
    <row r="20" spans="1:3" x14ac:dyDescent="0.45">
      <c r="A20" s="2" t="s">
        <v>22</v>
      </c>
      <c r="B20" s="3">
        <v>475</v>
      </c>
      <c r="C20" s="3">
        <v>104932.1</v>
      </c>
    </row>
    <row r="21" spans="1:3" x14ac:dyDescent="0.45">
      <c r="A21" s="2" t="s">
        <v>9</v>
      </c>
      <c r="B21" s="3">
        <v>4903</v>
      </c>
      <c r="C21" s="3">
        <v>779214.08</v>
      </c>
    </row>
    <row r="22" spans="1:3" x14ac:dyDescent="0.45">
      <c r="A22" s="2" t="s">
        <v>6</v>
      </c>
      <c r="B22" s="3">
        <v>12310</v>
      </c>
      <c r="C22" s="3">
        <v>2046357.64</v>
      </c>
    </row>
    <row r="23" spans="1:3" x14ac:dyDescent="0.45">
      <c r="A23" s="2" t="s">
        <v>23</v>
      </c>
      <c r="B23" s="3">
        <v>470</v>
      </c>
      <c r="C23" s="3">
        <v>99833.44</v>
      </c>
    </row>
    <row r="24" spans="1:3" x14ac:dyDescent="0.45">
      <c r="A24" s="2" t="s">
        <v>27</v>
      </c>
      <c r="B24" s="3">
        <v>243</v>
      </c>
      <c r="C24" s="3">
        <v>56966</v>
      </c>
    </row>
    <row r="25" spans="1:3" x14ac:dyDescent="0.45">
      <c r="A25" s="2" t="s">
        <v>31</v>
      </c>
      <c r="B25" s="3">
        <v>40</v>
      </c>
      <c r="C25" s="3">
        <v>8970.5</v>
      </c>
    </row>
    <row r="26" spans="1:3" x14ac:dyDescent="0.45">
      <c r="A26" s="2" t="s">
        <v>8</v>
      </c>
      <c r="B26" s="3">
        <v>5328</v>
      </c>
      <c r="C26" s="3">
        <v>858574.68</v>
      </c>
    </row>
    <row r="27" spans="1:3" x14ac:dyDescent="0.45">
      <c r="A27" s="2" t="s">
        <v>10</v>
      </c>
      <c r="B27" s="3">
        <v>3537</v>
      </c>
      <c r="C27" s="3">
        <v>592627.06000000006</v>
      </c>
    </row>
    <row r="28" spans="1:3" x14ac:dyDescent="0.45">
      <c r="A28" s="2" t="s">
        <v>25</v>
      </c>
      <c r="B28" s="3">
        <v>332</v>
      </c>
      <c r="C28" s="3">
        <v>69943.210000000006</v>
      </c>
    </row>
    <row r="29" spans="1:3" x14ac:dyDescent="0.45">
      <c r="A29" s="2" t="s">
        <v>5</v>
      </c>
      <c r="B29" s="3">
        <v>40406</v>
      </c>
      <c r="C29" s="3">
        <v>5755999.7599999998</v>
      </c>
    </row>
    <row r="30" spans="1:3" x14ac:dyDescent="0.45">
      <c r="A30" s="2" t="s">
        <v>26</v>
      </c>
      <c r="B30" s="3">
        <v>274</v>
      </c>
      <c r="C30" s="3">
        <v>60007.37</v>
      </c>
    </row>
    <row r="31" spans="1:3" x14ac:dyDescent="0.45">
      <c r="A31" s="2" t="s">
        <v>33</v>
      </c>
      <c r="B31" s="3">
        <v>96211</v>
      </c>
      <c r="C31" s="3">
        <v>15373120.01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069C24-F330-4FE1-9D5A-DC8B40721CDE}">
  <dimension ref="A3:C31"/>
  <sheetViews>
    <sheetView workbookViewId="0">
      <selection activeCell="G22" sqref="G22"/>
    </sheetView>
  </sheetViews>
  <sheetFormatPr defaultRowHeight="14.25" x14ac:dyDescent="0.45"/>
  <cols>
    <col min="1" max="1" width="12.06640625" bestFit="1" customWidth="1"/>
    <col min="2" max="2" width="12.19921875" bestFit="1" customWidth="1"/>
    <col min="3" max="3" width="13.73046875" bestFit="1" customWidth="1"/>
  </cols>
  <sheetData>
    <row r="3" spans="1:3" x14ac:dyDescent="0.45">
      <c r="A3" s="1" t="s">
        <v>32</v>
      </c>
      <c r="B3" t="s">
        <v>34</v>
      </c>
      <c r="C3" t="s">
        <v>35</v>
      </c>
    </row>
    <row r="4" spans="1:3" x14ac:dyDescent="0.45">
      <c r="A4" s="2" t="s">
        <v>29</v>
      </c>
      <c r="B4" s="3">
        <v>80</v>
      </c>
      <c r="C4" s="3">
        <v>19575.330000000002</v>
      </c>
    </row>
    <row r="5" spans="1:3" x14ac:dyDescent="0.45">
      <c r="A5" s="2" t="s">
        <v>24</v>
      </c>
      <c r="B5" s="3">
        <v>396</v>
      </c>
      <c r="C5" s="3">
        <v>94095.89</v>
      </c>
    </row>
    <row r="6" spans="1:3" x14ac:dyDescent="0.45">
      <c r="A6" s="2" t="s">
        <v>28</v>
      </c>
      <c r="B6" s="3">
        <v>145</v>
      </c>
      <c r="C6" s="3">
        <v>27585.47</v>
      </c>
    </row>
    <row r="7" spans="1:3" x14ac:dyDescent="0.45">
      <c r="A7" s="2" t="s">
        <v>30</v>
      </c>
      <c r="B7" s="3">
        <v>67</v>
      </c>
      <c r="C7" s="3">
        <v>16141.81</v>
      </c>
    </row>
    <row r="8" spans="1:3" x14ac:dyDescent="0.45">
      <c r="A8" s="2" t="s">
        <v>11</v>
      </c>
      <c r="B8" s="3">
        <v>3253</v>
      </c>
      <c r="C8" s="3">
        <v>590816.80000000005</v>
      </c>
    </row>
    <row r="9" spans="1:3" x14ac:dyDescent="0.45">
      <c r="A9" s="2" t="s">
        <v>16</v>
      </c>
      <c r="B9" s="3">
        <v>1273</v>
      </c>
      <c r="C9" s="3">
        <v>264551.39</v>
      </c>
    </row>
    <row r="10" spans="1:3" x14ac:dyDescent="0.45">
      <c r="A10" s="2" t="s">
        <v>12</v>
      </c>
      <c r="B10" s="3">
        <v>2074</v>
      </c>
      <c r="C10" s="3">
        <v>344923.24</v>
      </c>
    </row>
    <row r="11" spans="1:3" x14ac:dyDescent="0.45">
      <c r="A11" s="2" t="s">
        <v>14</v>
      </c>
      <c r="B11" s="3">
        <v>1992</v>
      </c>
      <c r="C11" s="3">
        <v>316666.12</v>
      </c>
    </row>
    <row r="12" spans="1:3" x14ac:dyDescent="0.45">
      <c r="A12" s="2" t="s">
        <v>13</v>
      </c>
      <c r="B12" s="3">
        <v>1950</v>
      </c>
      <c r="C12" s="3">
        <v>333156.23</v>
      </c>
    </row>
    <row r="13" spans="1:3" x14ac:dyDescent="0.45">
      <c r="A13" s="2" t="s">
        <v>19</v>
      </c>
      <c r="B13" s="3">
        <v>713</v>
      </c>
      <c r="C13" s="3">
        <v>146804.70000000001</v>
      </c>
    </row>
    <row r="14" spans="1:3" x14ac:dyDescent="0.45">
      <c r="A14" s="2" t="s">
        <v>7</v>
      </c>
      <c r="B14" s="3">
        <v>11319</v>
      </c>
      <c r="C14" s="3">
        <v>1813954.27</v>
      </c>
    </row>
    <row r="15" spans="1:3" x14ac:dyDescent="0.45">
      <c r="A15" s="2" t="s">
        <v>21</v>
      </c>
      <c r="B15" s="3">
        <v>701</v>
      </c>
      <c r="C15" s="3">
        <v>134367.54999999999</v>
      </c>
    </row>
    <row r="16" spans="1:3" x14ac:dyDescent="0.45">
      <c r="A16" s="2" t="s">
        <v>18</v>
      </c>
      <c r="B16" s="3">
        <v>885</v>
      </c>
      <c r="C16" s="3">
        <v>181122.98</v>
      </c>
    </row>
    <row r="17" spans="1:3" x14ac:dyDescent="0.45">
      <c r="A17" s="2" t="s">
        <v>17</v>
      </c>
      <c r="B17" s="3">
        <v>942</v>
      </c>
      <c r="C17" s="3">
        <v>210740.48000000001</v>
      </c>
    </row>
    <row r="18" spans="1:3" x14ac:dyDescent="0.45">
      <c r="A18" s="2" t="s">
        <v>20</v>
      </c>
      <c r="B18" s="3">
        <v>516</v>
      </c>
      <c r="C18" s="3">
        <v>137763.81</v>
      </c>
    </row>
    <row r="19" spans="1:3" x14ac:dyDescent="0.45">
      <c r="A19" s="2" t="s">
        <v>15</v>
      </c>
      <c r="B19" s="3">
        <v>1587</v>
      </c>
      <c r="C19" s="3">
        <v>307428.09999999998</v>
      </c>
    </row>
    <row r="20" spans="1:3" x14ac:dyDescent="0.45">
      <c r="A20" s="2" t="s">
        <v>22</v>
      </c>
      <c r="B20" s="3">
        <v>475</v>
      </c>
      <c r="C20" s="3">
        <v>104932.1</v>
      </c>
    </row>
    <row r="21" spans="1:3" x14ac:dyDescent="0.45">
      <c r="A21" s="2" t="s">
        <v>9</v>
      </c>
      <c r="B21" s="3">
        <v>4903</v>
      </c>
      <c r="C21" s="3">
        <v>779214.08</v>
      </c>
    </row>
    <row r="22" spans="1:3" x14ac:dyDescent="0.45">
      <c r="A22" s="2" t="s">
        <v>6</v>
      </c>
      <c r="B22" s="3">
        <v>12310</v>
      </c>
      <c r="C22" s="3">
        <v>2046357.64</v>
      </c>
    </row>
    <row r="23" spans="1:3" x14ac:dyDescent="0.45">
      <c r="A23" s="2" t="s">
        <v>23</v>
      </c>
      <c r="B23" s="3">
        <v>470</v>
      </c>
      <c r="C23" s="3">
        <v>99833.44</v>
      </c>
    </row>
    <row r="24" spans="1:3" x14ac:dyDescent="0.45">
      <c r="A24" s="2" t="s">
        <v>27</v>
      </c>
      <c r="B24" s="3">
        <v>243</v>
      </c>
      <c r="C24" s="3">
        <v>56966</v>
      </c>
    </row>
    <row r="25" spans="1:3" x14ac:dyDescent="0.45">
      <c r="A25" s="2" t="s">
        <v>31</v>
      </c>
      <c r="B25" s="3">
        <v>40</v>
      </c>
      <c r="C25" s="3">
        <v>8970.5</v>
      </c>
    </row>
    <row r="26" spans="1:3" x14ac:dyDescent="0.45">
      <c r="A26" s="2" t="s">
        <v>8</v>
      </c>
      <c r="B26" s="3">
        <v>5328</v>
      </c>
      <c r="C26" s="3">
        <v>858574.68</v>
      </c>
    </row>
    <row r="27" spans="1:3" x14ac:dyDescent="0.45">
      <c r="A27" s="2" t="s">
        <v>10</v>
      </c>
      <c r="B27" s="3">
        <v>3537</v>
      </c>
      <c r="C27" s="3">
        <v>592627.06000000006</v>
      </c>
    </row>
    <row r="28" spans="1:3" x14ac:dyDescent="0.45">
      <c r="A28" s="2" t="s">
        <v>25</v>
      </c>
      <c r="B28" s="3">
        <v>332</v>
      </c>
      <c r="C28" s="3">
        <v>69943.210000000006</v>
      </c>
    </row>
    <row r="29" spans="1:3" x14ac:dyDescent="0.45">
      <c r="A29" s="2" t="s">
        <v>5</v>
      </c>
      <c r="B29" s="3">
        <v>40406</v>
      </c>
      <c r="C29" s="3">
        <v>5755999.7599999998</v>
      </c>
    </row>
    <row r="30" spans="1:3" x14ac:dyDescent="0.45">
      <c r="A30" s="2" t="s">
        <v>26</v>
      </c>
      <c r="B30" s="3">
        <v>274</v>
      </c>
      <c r="C30" s="3">
        <v>60007.37</v>
      </c>
    </row>
    <row r="31" spans="1:3" x14ac:dyDescent="0.45">
      <c r="A31" s="2" t="s">
        <v>33</v>
      </c>
      <c r="B31" s="3">
        <v>96211</v>
      </c>
      <c r="C31" s="3">
        <v>15373120.01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DB0CE6-E083-4550-B14E-57E75BB0FF66}">
  <dimension ref="A1:E28"/>
  <sheetViews>
    <sheetView workbookViewId="0">
      <selection activeCell="D11" sqref="D11"/>
    </sheetView>
  </sheetViews>
  <sheetFormatPr defaultRowHeight="14.25" x14ac:dyDescent="0.45"/>
  <sheetData>
    <row r="1" spans="1:5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45">
      <c r="A2" t="s">
        <v>5</v>
      </c>
      <c r="B2">
        <v>40406</v>
      </c>
      <c r="C2">
        <v>5755999.7599999998</v>
      </c>
      <c r="D2">
        <v>37.44</v>
      </c>
      <c r="E2">
        <v>15.12</v>
      </c>
    </row>
    <row r="3" spans="1:5" x14ac:dyDescent="0.45">
      <c r="A3" t="s">
        <v>6</v>
      </c>
      <c r="B3">
        <v>12310</v>
      </c>
      <c r="C3">
        <v>2046357.64</v>
      </c>
      <c r="D3">
        <v>13.31</v>
      </c>
      <c r="E3">
        <v>20.92</v>
      </c>
    </row>
    <row r="4" spans="1:5" x14ac:dyDescent="0.45">
      <c r="A4" t="s">
        <v>7</v>
      </c>
      <c r="B4">
        <v>11319</v>
      </c>
      <c r="C4">
        <v>1813954.27</v>
      </c>
      <c r="D4">
        <v>11.8</v>
      </c>
      <c r="E4">
        <v>20.64</v>
      </c>
    </row>
    <row r="5" spans="1:5" x14ac:dyDescent="0.45">
      <c r="A5" t="s">
        <v>8</v>
      </c>
      <c r="B5">
        <v>5328</v>
      </c>
      <c r="C5">
        <v>858574.68</v>
      </c>
      <c r="D5">
        <v>5.58</v>
      </c>
      <c r="E5">
        <v>21.61</v>
      </c>
    </row>
    <row r="6" spans="1:5" x14ac:dyDescent="0.45">
      <c r="A6" t="s">
        <v>9</v>
      </c>
      <c r="B6">
        <v>4903</v>
      </c>
      <c r="C6">
        <v>779214.08</v>
      </c>
      <c r="D6">
        <v>5.07</v>
      </c>
      <c r="E6">
        <v>20.5</v>
      </c>
    </row>
    <row r="7" spans="1:5" x14ac:dyDescent="0.45">
      <c r="A7" t="s">
        <v>10</v>
      </c>
      <c r="B7">
        <v>3537</v>
      </c>
      <c r="C7">
        <v>592627.06000000006</v>
      </c>
      <c r="D7">
        <v>3.85</v>
      </c>
      <c r="E7">
        <v>21.51</v>
      </c>
    </row>
    <row r="8" spans="1:5" x14ac:dyDescent="0.45">
      <c r="A8" t="s">
        <v>11</v>
      </c>
      <c r="B8">
        <v>3253</v>
      </c>
      <c r="C8">
        <v>590816.80000000005</v>
      </c>
      <c r="D8">
        <v>3.84</v>
      </c>
      <c r="E8">
        <v>26.49</v>
      </c>
    </row>
    <row r="9" spans="1:5" x14ac:dyDescent="0.45">
      <c r="A9" t="s">
        <v>12</v>
      </c>
      <c r="B9">
        <v>2074</v>
      </c>
      <c r="C9">
        <v>344923.24</v>
      </c>
      <c r="D9">
        <v>2.2400000000000002</v>
      </c>
      <c r="E9">
        <v>21.08</v>
      </c>
    </row>
    <row r="10" spans="1:5" x14ac:dyDescent="0.45">
      <c r="A10" t="s">
        <v>13</v>
      </c>
      <c r="B10">
        <v>1950</v>
      </c>
      <c r="C10">
        <v>333156.23</v>
      </c>
      <c r="D10">
        <v>2.17</v>
      </c>
      <c r="E10">
        <v>22.57</v>
      </c>
    </row>
    <row r="11" spans="1:5" x14ac:dyDescent="0.45">
      <c r="A11" t="s">
        <v>14</v>
      </c>
      <c r="B11">
        <v>1992</v>
      </c>
      <c r="C11">
        <v>316666.12</v>
      </c>
      <c r="D11">
        <v>2.06</v>
      </c>
      <c r="E11">
        <v>22</v>
      </c>
    </row>
    <row r="12" spans="1:5" x14ac:dyDescent="0.45">
      <c r="A12" t="s">
        <v>15</v>
      </c>
      <c r="B12">
        <v>1587</v>
      </c>
      <c r="C12">
        <v>307428.09999999998</v>
      </c>
      <c r="D12">
        <v>2</v>
      </c>
      <c r="E12">
        <v>32.64</v>
      </c>
    </row>
    <row r="13" spans="1:5" x14ac:dyDescent="0.45">
      <c r="A13" t="s">
        <v>16</v>
      </c>
      <c r="B13">
        <v>1273</v>
      </c>
      <c r="C13">
        <v>264551.39</v>
      </c>
      <c r="D13">
        <v>1.72</v>
      </c>
      <c r="E13">
        <v>32.71</v>
      </c>
    </row>
    <row r="14" spans="1:5" x14ac:dyDescent="0.45">
      <c r="A14" t="s">
        <v>17</v>
      </c>
      <c r="B14">
        <v>942</v>
      </c>
      <c r="C14">
        <v>210740.48000000001</v>
      </c>
      <c r="D14">
        <v>1.37</v>
      </c>
      <c r="E14">
        <v>35.65</v>
      </c>
    </row>
    <row r="15" spans="1:5" x14ac:dyDescent="0.45">
      <c r="A15" t="s">
        <v>18</v>
      </c>
      <c r="B15">
        <v>885</v>
      </c>
      <c r="C15">
        <v>181122.98</v>
      </c>
      <c r="D15">
        <v>1.18</v>
      </c>
      <c r="E15">
        <v>28</v>
      </c>
    </row>
    <row r="16" spans="1:5" x14ac:dyDescent="0.45">
      <c r="A16" t="s">
        <v>19</v>
      </c>
      <c r="B16">
        <v>713</v>
      </c>
      <c r="C16">
        <v>146804.70000000001</v>
      </c>
      <c r="D16">
        <v>0.95</v>
      </c>
      <c r="E16">
        <v>38.56</v>
      </c>
    </row>
    <row r="17" spans="1:5" x14ac:dyDescent="0.45">
      <c r="A17" t="s">
        <v>20</v>
      </c>
      <c r="B17">
        <v>516</v>
      </c>
      <c r="C17">
        <v>137763.81</v>
      </c>
      <c r="D17">
        <v>0.9</v>
      </c>
      <c r="E17">
        <v>43.12</v>
      </c>
    </row>
    <row r="18" spans="1:5" x14ac:dyDescent="0.45">
      <c r="A18" t="s">
        <v>21</v>
      </c>
      <c r="B18">
        <v>701</v>
      </c>
      <c r="C18">
        <v>134367.54999999999</v>
      </c>
      <c r="D18">
        <v>0.87</v>
      </c>
      <c r="E18">
        <v>23.35</v>
      </c>
    </row>
    <row r="19" spans="1:5" x14ac:dyDescent="0.45">
      <c r="A19" t="s">
        <v>22</v>
      </c>
      <c r="B19">
        <v>475</v>
      </c>
      <c r="C19">
        <v>104932.1</v>
      </c>
      <c r="D19">
        <v>0.68</v>
      </c>
      <c r="E19">
        <v>39.119999999999997</v>
      </c>
    </row>
    <row r="20" spans="1:5" x14ac:dyDescent="0.45">
      <c r="A20" t="s">
        <v>23</v>
      </c>
      <c r="B20">
        <v>470</v>
      </c>
      <c r="C20">
        <v>99833.44</v>
      </c>
      <c r="D20">
        <v>0.65</v>
      </c>
      <c r="E20">
        <v>35.770000000000003</v>
      </c>
    </row>
    <row r="21" spans="1:5" x14ac:dyDescent="0.45">
      <c r="A21" t="s">
        <v>24</v>
      </c>
      <c r="B21">
        <v>396</v>
      </c>
      <c r="C21">
        <v>94095.89</v>
      </c>
      <c r="D21">
        <v>0.61</v>
      </c>
      <c r="E21">
        <v>35.89</v>
      </c>
    </row>
    <row r="22" spans="1:5" x14ac:dyDescent="0.45">
      <c r="A22" t="s">
        <v>25</v>
      </c>
      <c r="B22">
        <v>332</v>
      </c>
      <c r="C22">
        <v>69943.210000000006</v>
      </c>
      <c r="D22">
        <v>0.45</v>
      </c>
      <c r="E22">
        <v>36.71</v>
      </c>
    </row>
    <row r="23" spans="1:5" x14ac:dyDescent="0.45">
      <c r="A23" t="s">
        <v>26</v>
      </c>
      <c r="B23">
        <v>274</v>
      </c>
      <c r="C23">
        <v>60007.37</v>
      </c>
      <c r="D23">
        <v>0.39</v>
      </c>
      <c r="E23">
        <v>37.44</v>
      </c>
    </row>
    <row r="24" spans="1:5" x14ac:dyDescent="0.45">
      <c r="A24" t="s">
        <v>27</v>
      </c>
      <c r="B24">
        <v>243</v>
      </c>
      <c r="C24">
        <v>56966</v>
      </c>
      <c r="D24">
        <v>0.37</v>
      </c>
      <c r="E24">
        <v>41.33</v>
      </c>
    </row>
    <row r="25" spans="1:5" x14ac:dyDescent="0.45">
      <c r="A25" t="s">
        <v>28</v>
      </c>
      <c r="B25">
        <v>145</v>
      </c>
      <c r="C25">
        <v>27585.47</v>
      </c>
      <c r="D25">
        <v>0.18</v>
      </c>
      <c r="E25">
        <v>33.31</v>
      </c>
    </row>
    <row r="26" spans="1:5" x14ac:dyDescent="0.45">
      <c r="A26" t="s">
        <v>29</v>
      </c>
      <c r="B26">
        <v>80</v>
      </c>
      <c r="C26">
        <v>19575.330000000002</v>
      </c>
      <c r="D26">
        <v>0.13</v>
      </c>
      <c r="E26">
        <v>40.049999999999997</v>
      </c>
    </row>
    <row r="27" spans="1:5" x14ac:dyDescent="0.45">
      <c r="A27" t="s">
        <v>30</v>
      </c>
      <c r="B27">
        <v>67</v>
      </c>
      <c r="C27">
        <v>16141.81</v>
      </c>
      <c r="D27">
        <v>0.11</v>
      </c>
      <c r="E27">
        <v>34.159999999999997</v>
      </c>
    </row>
    <row r="28" spans="1:5" x14ac:dyDescent="0.45">
      <c r="A28" t="s">
        <v>31</v>
      </c>
      <c r="B28">
        <v>40</v>
      </c>
      <c r="C28">
        <v>8970.5</v>
      </c>
      <c r="D28">
        <v>0.06</v>
      </c>
      <c r="E28">
        <v>43.39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A7156D-E17B-4EC5-8A55-BBE42B69D6F8}">
  <dimension ref="A3:C6"/>
  <sheetViews>
    <sheetView workbookViewId="0">
      <selection activeCell="A3" sqref="A3"/>
    </sheetView>
  </sheetViews>
  <sheetFormatPr defaultRowHeight="14.25" x14ac:dyDescent="0.45"/>
  <cols>
    <col min="1" max="1" width="12.06640625" bestFit="1" customWidth="1"/>
    <col min="2" max="2" width="12.19921875" bestFit="1" customWidth="1"/>
    <col min="3" max="3" width="13.73046875" bestFit="1" customWidth="1"/>
  </cols>
  <sheetData>
    <row r="3" spans="1:3" x14ac:dyDescent="0.45">
      <c r="A3" s="1" t="s">
        <v>32</v>
      </c>
      <c r="B3" t="s">
        <v>34</v>
      </c>
      <c r="C3" t="s">
        <v>35</v>
      </c>
    </row>
    <row r="4" spans="1:3" x14ac:dyDescent="0.45">
      <c r="A4" s="2" t="s">
        <v>37</v>
      </c>
      <c r="B4" s="3">
        <v>43428</v>
      </c>
      <c r="C4" s="3">
        <v>6921535.2400000002</v>
      </c>
    </row>
    <row r="5" spans="1:3" x14ac:dyDescent="0.45">
      <c r="A5" s="2" t="s">
        <v>38</v>
      </c>
      <c r="B5" s="3">
        <v>52783</v>
      </c>
      <c r="C5" s="3">
        <v>8451584.7700000014</v>
      </c>
    </row>
    <row r="6" spans="1:3" x14ac:dyDescent="0.45">
      <c r="A6" s="2" t="s">
        <v>33</v>
      </c>
      <c r="B6" s="3">
        <v>96211</v>
      </c>
      <c r="C6" s="3">
        <v>15373120.010000002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EA9D63-8AEB-4345-9028-BA187756ABB1}">
  <dimension ref="A1:C21"/>
  <sheetViews>
    <sheetView workbookViewId="0">
      <selection activeCell="F23" sqref="F23"/>
    </sheetView>
  </sheetViews>
  <sheetFormatPr defaultRowHeight="14.25" x14ac:dyDescent="0.45"/>
  <sheetData>
    <row r="1" spans="1:3" x14ac:dyDescent="0.45">
      <c r="A1" t="s">
        <v>36</v>
      </c>
      <c r="B1" t="s">
        <v>1</v>
      </c>
      <c r="C1" t="s">
        <v>2</v>
      </c>
    </row>
    <row r="2" spans="1:3" x14ac:dyDescent="0.45">
      <c r="A2" s="4">
        <v>42736</v>
      </c>
      <c r="B2">
        <v>750</v>
      </c>
      <c r="C2">
        <v>127482.37</v>
      </c>
    </row>
    <row r="3" spans="1:3" x14ac:dyDescent="0.45">
      <c r="A3" s="4">
        <v>42767</v>
      </c>
      <c r="B3">
        <v>1653</v>
      </c>
      <c r="C3">
        <v>271239.32</v>
      </c>
    </row>
    <row r="4" spans="1:3" x14ac:dyDescent="0.45">
      <c r="A4" s="4">
        <v>42795</v>
      </c>
      <c r="B4">
        <v>2546</v>
      </c>
      <c r="C4">
        <v>414330.95</v>
      </c>
    </row>
    <row r="5" spans="1:3" x14ac:dyDescent="0.45">
      <c r="A5" s="4">
        <v>42826</v>
      </c>
      <c r="B5">
        <v>2303</v>
      </c>
      <c r="C5">
        <v>390812.4</v>
      </c>
    </row>
    <row r="6" spans="1:3" x14ac:dyDescent="0.45">
      <c r="A6" s="4">
        <v>42856</v>
      </c>
      <c r="B6">
        <v>3546</v>
      </c>
      <c r="C6">
        <v>566851.4</v>
      </c>
    </row>
    <row r="7" spans="1:3" x14ac:dyDescent="0.45">
      <c r="A7" s="4">
        <v>42887</v>
      </c>
      <c r="B7">
        <v>3135</v>
      </c>
      <c r="C7">
        <v>490050.37</v>
      </c>
    </row>
    <row r="8" spans="1:3" x14ac:dyDescent="0.45">
      <c r="A8" s="4">
        <v>42917</v>
      </c>
      <c r="B8">
        <v>3872</v>
      </c>
      <c r="C8">
        <v>566299.07999999996</v>
      </c>
    </row>
    <row r="9" spans="1:3" x14ac:dyDescent="0.45">
      <c r="A9" s="4">
        <v>42948</v>
      </c>
      <c r="B9">
        <v>4193</v>
      </c>
      <c r="C9">
        <v>645832.36</v>
      </c>
    </row>
    <row r="10" spans="1:3" x14ac:dyDescent="0.45">
      <c r="A10" s="4">
        <v>42979</v>
      </c>
      <c r="B10">
        <v>4150</v>
      </c>
      <c r="C10">
        <v>701077.49</v>
      </c>
    </row>
    <row r="11" spans="1:3" x14ac:dyDescent="0.45">
      <c r="A11" s="4">
        <v>43009</v>
      </c>
      <c r="B11">
        <v>4478</v>
      </c>
      <c r="C11">
        <v>751117.01</v>
      </c>
    </row>
    <row r="12" spans="1:3" x14ac:dyDescent="0.45">
      <c r="A12" s="4">
        <v>43040</v>
      </c>
      <c r="B12">
        <v>7289</v>
      </c>
      <c r="C12">
        <v>1153364.2</v>
      </c>
    </row>
    <row r="13" spans="1:3" x14ac:dyDescent="0.45">
      <c r="A13" s="4">
        <v>43070</v>
      </c>
      <c r="B13">
        <v>5513</v>
      </c>
      <c r="C13">
        <v>843078.29</v>
      </c>
    </row>
    <row r="14" spans="1:3" x14ac:dyDescent="0.45">
      <c r="A14" s="4">
        <v>43101</v>
      </c>
      <c r="B14">
        <v>7069</v>
      </c>
      <c r="C14">
        <v>1077887.46</v>
      </c>
    </row>
    <row r="15" spans="1:3" x14ac:dyDescent="0.45">
      <c r="A15" s="4">
        <v>43132</v>
      </c>
      <c r="B15">
        <v>6555</v>
      </c>
      <c r="C15">
        <v>966168.41</v>
      </c>
    </row>
    <row r="16" spans="1:3" x14ac:dyDescent="0.45">
      <c r="A16" s="4">
        <v>43160</v>
      </c>
      <c r="B16">
        <v>7003</v>
      </c>
      <c r="C16">
        <v>1120598.24</v>
      </c>
    </row>
    <row r="17" spans="1:3" x14ac:dyDescent="0.45">
      <c r="A17" s="4">
        <v>43191</v>
      </c>
      <c r="B17">
        <v>6798</v>
      </c>
      <c r="C17">
        <v>1132878.93</v>
      </c>
    </row>
    <row r="18" spans="1:3" x14ac:dyDescent="0.45">
      <c r="A18" s="4">
        <v>43221</v>
      </c>
      <c r="B18">
        <v>6749</v>
      </c>
      <c r="C18">
        <v>1128774.52</v>
      </c>
    </row>
    <row r="19" spans="1:3" x14ac:dyDescent="0.45">
      <c r="A19" s="4">
        <v>43252</v>
      </c>
      <c r="B19">
        <v>6099</v>
      </c>
      <c r="C19">
        <v>1011978.29</v>
      </c>
    </row>
    <row r="20" spans="1:3" x14ac:dyDescent="0.45">
      <c r="A20" s="4">
        <v>43282</v>
      </c>
      <c r="B20">
        <v>6159</v>
      </c>
      <c r="C20">
        <v>1027807.28</v>
      </c>
    </row>
    <row r="21" spans="1:3" x14ac:dyDescent="0.45">
      <c r="A21" s="4">
        <v>43313</v>
      </c>
      <c r="B21">
        <v>6351</v>
      </c>
      <c r="C21">
        <v>985491.64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pivot_by_state</vt:lpstr>
      <vt:lpstr>checks</vt:lpstr>
      <vt:lpstr>revenue_by_state</vt:lpstr>
      <vt:lpstr>pivot_by_month</vt:lpstr>
      <vt:lpstr>revenue_by_month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Dhruti Patel</dc:creator>
  <cp:lastModifiedBy>Dhrutiben Narendrabhai Patel</cp:lastModifiedBy>
  <dcterms:created xsi:type="dcterms:W3CDTF">2026-09-24T00:29:40Z</dcterms:created>
  <dcterms:modified xsi:type="dcterms:W3CDTF">2026-09-24T00:31:25Z</dcterms:modified>
</cp:coreProperties>
</file>